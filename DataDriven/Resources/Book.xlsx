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xr:revisionPtr revIDLastSave="0" documentId="13_ncr:801_{0E4E18BD-6EFE-4A85-AF10-8F829B5BD2A8}" xr6:coauthVersionLast="47" xr6:coauthVersionMax="47" xr10:uidLastSave="{00000000-0000-0000-0000-000000000000}"/>
  <bookViews>
    <workbookView xWindow="-120" yWindow="-120" windowWidth="20730" windowHeight="11160" activeTab="1" xr2:uid="{E1528C67-218B-446A-BF65-3736F351F7CE}"/>
  </bookViews>
  <sheets>
    <sheet name="Sheet1" sheetId="1" r:id="rId1"/>
    <sheet name="Sheet2" sheetId="2" r:id="rId2"/>
  </sheets>
  <calcPr calcId="191029"/>
  <oleSize ref="A1:O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<sst xmlns="http://schemas.openxmlformats.org/spreadsheetml/2006/main" count="27" uniqueCount="27">
  <si>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sl.no</t>
  </si>
  <si>
    <t>name</t>
  </si>
  <si>
    <t>id</t>
  </si>
  <si>
    <t>Sharan</t>
  </si>
  <si>
    <t>Kumar</t>
  </si>
  <si>
    <t>Vijay</t>
  </si>
  <si>
    <t>Somu</t>
  </si>
  <si>
    <t>Venkat</t>
  </si>
  <si>
    <t>id1</t>
  </si>
  <si>
    <t>id2</t>
  </si>
  <si>
    <t>id3</t>
  </si>
  <si>
    <t>id4</t>
  </si>
  <si>
    <t>id5</t>
  </si>
  <si>
    <t>upper</t>
  </si>
  <si>
    <t>lower</t>
  </si>
  <si>
    <t>Date</t>
  </si>
  <si>
    <t>time</t>
  </si>
  <si>
    <t>max</t>
  </si>
  <si>
    <t>min</t>
  </si>
  <si>
    <t>sum</t>
  </si>
  <si>
    <t>avg</t>
  </si>
  <si>
    <t>result</t>
  </si>
  <si>
    <t>salary 1</t>
  </si>
  <si>
    <t>salary 2</t>
  </si>
  <si>
    <t>salary 3</t>
  </si>
  <si>
    <t>sharan@gmail.com</t>
  </si>
  <si>
    <t>sharan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</si>
</sst>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5" xfId="0" applyNumberFormat="1" applyBorder="1"/>
    <xf numFmtId="18" fontId="0" fillId="0" borderId="5" xfId="0" applyNumberFormat="1" applyBorder="1"/>
    <xf numFmtId="0" fontId="0" fillId="2" borderId="1" xfId="0" applyFill="1" applyBorder="1"/>
    <xf numFmtId="0" fontId="2" fillId="2" borderId="1" xfId="1" applyFill="1" applyBorder="1"/>
  </cellXfs>
  <cellStyles count="2">
    <cellStyle name="Hyperlink" xfId="1" builtinId="8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1FEBB-BD28-41BB-8807-99488C88EC52}" name="Table1" displayName="Table1" ref="A1:M8" totalsRowShown="0" headerRowDxfId="19" headerRowBorderDxfId="18" tableBorderDxfId="17" totalsRowBorderDxfId="16">
  <autoFilter ref="A1:M8" xr:uid="{BAE1FEBB-BD28-41BB-8807-99488C88EC52}"/>
  <sortState xmlns:xlrd2="http://schemas.microsoft.com/office/spreadsheetml/2017/richdata2" ref="A2:H6">
    <sortCondition ref="A1:A6"/>
  </sortState>
  <tableColumns count="13">
    <tableColumn id="1" xr3:uid="{A291BEA4-BAF6-4C42-8D61-23BCC8D082BA}" name="sl.no" dataDxfId="15"/>
    <tableColumn id="2" xr3:uid="{043A9289-B86E-45D8-A7E7-1A5EACB9F05A}" name="name" dataDxfId="14"/>
    <tableColumn id="3" xr3:uid="{4FDC1F5E-C4C1-489F-BE80-0C36F9667FC3}" name="id" dataDxfId="13"/>
    <tableColumn id="4" xr3:uid="{851023AB-A945-4776-A16F-ED489087C506}" name="salary 1" dataDxfId="12"/>
    <tableColumn id="13" xr3:uid="{4D6524AA-7306-42AD-9E34-CA8B62B864F6}" name="salary 2" dataDxfId="11"/>
    <tableColumn id="14" xr3:uid="{6B5CBB0D-7305-49F6-951E-88C171CF624B}" name="salary 3" dataDxfId="10"/>
    <tableColumn id="5" xr3:uid="{8EC5E0DE-943D-4266-B66F-DDF695618B09}" name="upper" dataDxfId="9">
      <calculatedColumnFormula>UPPER(B2)</calculatedColumnFormula>
    </tableColumn>
    <tableColumn id="6" xr3:uid="{F8B69553-FCC9-4F06-A45B-9D6AD75B4401}" name="lower" dataDxfId="8">
      <calculatedColumnFormula>(LOWER(B2))</calculatedColumnFormula>
    </tableColumn>
    <tableColumn id="7" xr3:uid="{5BF3071E-C2F9-44F3-938E-A9CC70D81734}" name="Date" dataDxfId="7"/>
    <tableColumn id="8" xr3:uid="{C581C8F1-18CC-4578-8176-69E10710746D}" name="time" dataDxfId="6"/>
    <tableColumn id="9" xr3:uid="{EDFD9AE6-3EDF-42EB-B09F-9496A75EE5C3}" name="sum" dataDxfId="5">
      <calculatedColumnFormula>(SUM(Table1[[#This Row],[salary 1]:[salary 3]]))</calculatedColumnFormula>
    </tableColumn>
    <tableColumn id="10" xr3:uid="{761B8A76-821A-4A03-A0EE-EDC63F11D6A5}" name="avg" dataDxfId="4">
      <calculatedColumnFormula>(AVERAGE(Table1[[#This Row],[salary 1]:[salary 3]]))</calculatedColumnFormula>
    </tableColumn>
    <tableColumn id="11" xr3:uid="{7BE8A51A-144B-476D-937E-EF797CDE4000}" name="resul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a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7B2D-02C7-4AB8-B48D-36F28DC5E471}">
  <dimension ref="A1:M8"/>
  <sheetViews>
    <sheetView workbookViewId="0">
      <selection activeCell="B2" sqref="B2:C4"/>
    </sheetView>
  </sheetViews>
  <sheetFormatPr defaultRowHeight="15" x14ac:dyDescent="0.25"/>
  <cols>
    <col min="1" max="1" width="7.5703125" bestFit="1" customWidth="1"/>
    <col min="2" max="2" width="8.28515625" bestFit="1" customWidth="1"/>
    <col min="3" max="3" width="5" bestFit="1" customWidth="1"/>
    <col min="4" max="6" width="9.85546875" bestFit="1" customWidth="1"/>
    <col min="7" max="7" width="8.5703125" bestFit="1" customWidth="1"/>
    <col min="8" max="8" width="8.42578125" bestFit="1" customWidth="1"/>
    <col min="9" max="9" width="10.42578125" bestFit="1" customWidth="1"/>
    <col min="10" max="10" width="8.85546875" bestFit="1" customWidth="1"/>
    <col min="11" max="11" width="7" bestFit="1" customWidth="1"/>
    <col min="12" max="12" width="6.28515625" bestFit="1" customWidth="1"/>
    <col min="13" max="13" width="8.42578125" bestFit="1" customWidth="1"/>
  </cols>
  <sheetData>
    <row r="1" spans="1:13" x14ac:dyDescent="0.25">
      <c r="A1" s="4" t="s">
        <v>0</v>
      </c>
      <c r="B1" s="5" t="s">
        <v>1</v>
      </c>
      <c r="C1" s="5" t="s">
        <v>2</v>
      </c>
      <c r="D1" s="5" t="s">
        <v>22</v>
      </c>
      <c r="E1" s="5" t="s">
        <v>23</v>
      </c>
      <c r="F1" s="5" t="s">
        <v>24</v>
      </c>
      <c r="G1" s="5" t="s">
        <v>13</v>
      </c>
      <c r="H1" s="6" t="s">
        <v>14</v>
      </c>
      <c r="I1" s="5" t="s">
        <v>15</v>
      </c>
      <c r="J1" s="5" t="s">
        <v>16</v>
      </c>
      <c r="K1" s="5" t="s">
        <v>19</v>
      </c>
      <c r="L1" s="5" t="s">
        <v>20</v>
      </c>
      <c r="M1" s="5" t="s">
        <v>21</v>
      </c>
    </row>
    <row r="2" spans="1:13" x14ac:dyDescent="0.25">
      <c r="A2" s="2">
        <v>1</v>
      </c>
      <c r="B2" s="1" t="s">
        <v>3</v>
      </c>
      <c r="C2" s="1" t="s">
        <v>8</v>
      </c>
      <c r="D2" s="1">
        <v>1000</v>
      </c>
      <c r="E2" s="1">
        <v>5000</v>
      </c>
      <c r="F2" s="1">
        <v>3000</v>
      </c>
      <c r="G2" s="1" t="str">
        <f t="shared" ref="G2:G8" si="0">UPPER(B2)</f>
        <v>SHARAN</v>
      </c>
      <c r="H2" s="3" t="str">
        <f t="shared" ref="H2:H8" si="1">(LOWER(B2))</f>
        <v>sharan</v>
      </c>
      <c r="I2" s="10">
        <v>45962</v>
      </c>
      <c r="J2" s="11">
        <v>0.97361111111111109</v>
      </c>
      <c r="K2" s="5">
        <f>(SUM(Table1[[#This Row],[salary 1]:[salary 3]]))</f>
        <v>9000</v>
      </c>
      <c r="L2" s="5">
        <f>(AVERAGE(Table1[[#This Row],[salary 1]:[salary 3]]))</f>
        <v>3000</v>
      </c>
      <c r="M2" s="5"/>
    </row>
    <row r="3" spans="1:13" x14ac:dyDescent="0.25">
      <c r="A3" s="2">
        <v>2</v>
      </c>
      <c r="B3" s="1" t="s">
        <v>4</v>
      </c>
      <c r="C3" s="1" t="s">
        <v>9</v>
      </c>
      <c r="D3" s="1">
        <v>2000</v>
      </c>
      <c r="E3" s="1">
        <v>6000</v>
      </c>
      <c r="F3" s="1">
        <v>4000</v>
      </c>
      <c r="G3" s="1" t="str">
        <f t="shared" si="0"/>
        <v>KUMAR</v>
      </c>
      <c r="H3" s="3" t="str">
        <f t="shared" si="1"/>
        <v>kumar</v>
      </c>
      <c r="I3" s="10">
        <v>45962</v>
      </c>
      <c r="J3" s="11">
        <v>0.97361111111111109</v>
      </c>
      <c r="K3" s="1">
        <f>(SUM(Table1[[#This Row],[salary 1]:[salary 3]]))</f>
        <v>12000</v>
      </c>
      <c r="L3" s="1">
        <f>(AVERAGE(Table1[[#This Row],[salary 1]:[salary 3]]))</f>
        <v>4000</v>
      </c>
      <c r="M3" s="1"/>
    </row>
    <row r="4" spans="1:13" x14ac:dyDescent="0.25">
      <c r="A4" s="2">
        <v>3</v>
      </c>
      <c r="B4" s="1" t="s">
        <v>5</v>
      </c>
      <c r="C4" s="1" t="s">
        <v>10</v>
      </c>
      <c r="D4" s="1">
        <v>3000</v>
      </c>
      <c r="E4" s="1">
        <v>7000</v>
      </c>
      <c r="F4" s="1">
        <v>5000</v>
      </c>
      <c r="G4" s="1" t="str">
        <f t="shared" si="0"/>
        <v>VIJAY</v>
      </c>
      <c r="H4" s="3" t="str">
        <f t="shared" si="1"/>
        <v>vijay</v>
      </c>
      <c r="I4" s="10">
        <v>45962</v>
      </c>
      <c r="J4" s="11">
        <v>0.97361111111111109</v>
      </c>
      <c r="K4" s="1">
        <f>(SUM(Table1[[#This Row],[salary 1]:[salary 3]]))</f>
        <v>15000</v>
      </c>
      <c r="L4" s="1">
        <f>(AVERAGE(Table1[[#This Row],[salary 1]:[salary 3]]))</f>
        <v>5000</v>
      </c>
      <c r="M4" s="1"/>
    </row>
    <row r="5" spans="1:13" x14ac:dyDescent="0.25">
      <c r="A5" s="2">
        <v>4</v>
      </c>
      <c r="B5" s="1" t="s">
        <v>6</v>
      </c>
      <c r="C5" s="1" t="s">
        <v>11</v>
      </c>
      <c r="D5" s="1">
        <v>4000</v>
      </c>
      <c r="E5" s="1">
        <v>8000</v>
      </c>
      <c r="F5" s="1">
        <v>6000</v>
      </c>
      <c r="G5" s="1" t="str">
        <f t="shared" si="0"/>
        <v>SOMU</v>
      </c>
      <c r="H5" s="3" t="str">
        <f t="shared" si="1"/>
        <v>somu</v>
      </c>
      <c r="I5" s="10">
        <v>45962</v>
      </c>
      <c r="J5" s="11">
        <v>0.97361111111111109</v>
      </c>
      <c r="K5" s="1">
        <f>(SUM(Table1[[#This Row],[salary 1]:[salary 3]]))</f>
        <v>18000</v>
      </c>
      <c r="L5" s="1">
        <f>(AVERAGE(Table1[[#This Row],[salary 1]:[salary 3]]))</f>
        <v>6000</v>
      </c>
      <c r="M5" s="1"/>
    </row>
    <row r="6" spans="1:13" x14ac:dyDescent="0.25">
      <c r="A6" s="7">
        <v>5</v>
      </c>
      <c r="B6" s="8" t="s">
        <v>7</v>
      </c>
      <c r="C6" s="8" t="s">
        <v>12</v>
      </c>
      <c r="D6" s="8">
        <v>5000</v>
      </c>
      <c r="E6" s="1">
        <v>9000</v>
      </c>
      <c r="F6" s="1">
        <v>7000</v>
      </c>
      <c r="G6" s="8" t="str">
        <f t="shared" si="0"/>
        <v>VENKAT</v>
      </c>
      <c r="H6" s="9" t="str">
        <f t="shared" si="1"/>
        <v>venkat</v>
      </c>
      <c r="I6" s="10">
        <v>45962</v>
      </c>
      <c r="J6" s="11">
        <v>0.97361111111111109</v>
      </c>
      <c r="K6" s="1">
        <f>(SUM(Table1[[#This Row],[salary 1]:[salary 3]]))</f>
        <v>21000</v>
      </c>
      <c r="L6" s="1">
        <f>(AVERAGE(Table1[[#This Row],[salary 1]:[salary 3]]))</f>
        <v>7000</v>
      </c>
      <c r="M6" s="1"/>
    </row>
    <row r="7" spans="1:13" x14ac:dyDescent="0.25">
      <c r="A7" s="7" t="s">
        <v>17</v>
      </c>
      <c r="B7" s="8"/>
      <c r="C7" s="8"/>
      <c r="D7" s="8">
        <f>(MAX(D2:D6))</f>
        <v>5000</v>
      </c>
      <c r="E7" s="8">
        <f t="shared" ref="E7:F7" si="2">(MAX(E2:E6))</f>
        <v>9000</v>
      </c>
      <c r="F7" s="8">
        <f t="shared" si="2"/>
        <v>7000</v>
      </c>
      <c r="G7" s="8" t="str">
        <f t="shared" si="0"/>
        <v/>
      </c>
      <c r="H7" s="9" t="str">
        <f t="shared" si="1"/>
        <v/>
      </c>
      <c r="I7" s="8"/>
      <c r="J7" s="8"/>
      <c r="K7" s="1"/>
      <c r="L7" s="1"/>
      <c r="M7" s="1"/>
    </row>
    <row r="8" spans="1:13" x14ac:dyDescent="0.25">
      <c r="A8" s="7" t="s">
        <v>18</v>
      </c>
      <c r="B8" s="8"/>
      <c r="C8" s="8"/>
      <c r="D8" s="8">
        <f>(MIN(D2:D6))</f>
        <v>1000</v>
      </c>
      <c r="E8" s="8">
        <f t="shared" ref="E8:F8" si="3">(MIN(E2:E6))</f>
        <v>5000</v>
      </c>
      <c r="F8" s="8">
        <f t="shared" si="3"/>
        <v>3000</v>
      </c>
      <c r="G8" s="8" t="str">
        <f t="shared" si="0"/>
        <v/>
      </c>
      <c r="H8" s="9" t="str">
        <f t="shared" si="1"/>
        <v/>
      </c>
      <c r="I8" s="8"/>
      <c r="J8" s="8"/>
      <c r="K8" s="8"/>
      <c r="L8" s="8"/>
      <c r="M8" s="8"/>
    </row>
  </sheetData>
  <phoneticPr fontId="1" type="noConversion"/>
  <conditionalFormatting sqref="D2:F6">
    <cfRule type="cellIs" dxfId="2" priority="1" operator="greaterThan">
      <formula>2000</formula>
    </cfRule>
  </conditionalFormatting>
  <conditionalFormatting sqref="K2:K6">
    <cfRule type="cellIs" dxfId="1" priority="3" operator="greaterThan">
      <formula>10000</formula>
    </cfRule>
  </conditionalFormatting>
  <conditionalFormatting sqref="L2:L6">
    <cfRule type="cellIs" dxfId="0" priority="2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2BD4-EDD7-4DA8-8695-9E1A6B916E23}">
  <dimension ref="A1:B3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3" t="s">
        <v>25</v>
      </c>
      <c r="B1" s="12" t="s">
        <v>26</v>
      </c>
    </row>
    <row r="2" spans="1:2" x14ac:dyDescent="0.25">
      <c r="A2" s="1"/>
      <c r="B2" s="1"/>
    </row>
    <row r="3" spans="1:2" x14ac:dyDescent="0.25">
      <c r="A3" s="12"/>
      <c r="B3" s="12"/>
    </row>
  </sheetData>
  <hyperlinks>
    <hyperlink ref="A1" r:id="rId1" xr:uid="{F1A909EC-9BB8-47E4-B167-AE92054AAD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Kumar</dc:creator>
  <cp:lastModifiedBy>Sharan Kumar</cp:lastModifiedBy>
  <dcterms:created xsi:type="dcterms:W3CDTF">2025-11-01T17:40:22Z</dcterms:created>
  <dcterms:modified xsi:type="dcterms:W3CDTF">2025-11-10T15:29:03Z</dcterms:modified>
</cp:coreProperties>
</file>